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hsulotlar" state="visible" r:id="rId4"/>
    <sheet sheetId="2" name="Materiallar" state="visible" r:id="rId5"/>
  </sheets>
  <definedNames>
    <definedName name="_xlnm.Print_Area" localSheetId="0">'Mahsulotlar'!$A1:$G22</definedName>
    <definedName name="_xlnm.Print_Titles" localSheetId="0">'Mahsulotlar'!$4:$4</definedName>
    <definedName name="_xlnm.Print_Area" localSheetId="1">'Materiallar'!$A1:$J39</definedName>
    <definedName name="_xlnm.Print_Titles" localSheetId="1">'Materiallar'!$4:$4</definedName>
  </definedNames>
  <calcPr calcId="171027"/>
</workbook>
</file>

<file path=xl/sharedStrings.xml><?xml version="1.0" encoding="utf-8"?>
<sst xmlns="http://schemas.openxmlformats.org/spreadsheetml/2006/main" count="122" uniqueCount="85">
  <si>
    <t>Oylik hisobot — 09.2026: mahsulotlar</t>
  </si>
  <si>
    <t>ООО «ЭКМ» АО «Уз КЭК»  ·  Ishlab chiqarildi: 274 dona, reja bajarilishi 107 %, beton 212 m³, jo'natildi 307 dona  ·  Tayyorlandi: 25.09.2026 12:47</t>
  </si>
  <si>
    <t>Marka</t>
  </si>
  <si>
    <t>Nomi</t>
  </si>
  <si>
    <t>Reja</t>
  </si>
  <si>
    <t>Fakt</t>
  </si>
  <si>
    <t>Bajarilishi</t>
  </si>
  <si>
    <t>Beton, m³</t>
  </si>
  <si>
    <t>Jo'natildi</t>
  </si>
  <si>
    <t>Л 12-8</t>
  </si>
  <si>
    <t>Кабельный лоток</t>
  </si>
  <si>
    <t>ПЛ 7д-3</t>
  </si>
  <si>
    <t>Плита перекрытия</t>
  </si>
  <si>
    <t>ПЛ 10д-3</t>
  </si>
  <si>
    <t>Ф5-Усу(250)</t>
  </si>
  <si>
    <t>Фундамент</t>
  </si>
  <si>
    <t>Ф5-АМ</t>
  </si>
  <si>
    <t>Ф5-Амк</t>
  </si>
  <si>
    <t>Ф5-4</t>
  </si>
  <si>
    <t>Ф3-2</t>
  </si>
  <si>
    <t>Фк4-05</t>
  </si>
  <si>
    <t>Па3-1</t>
  </si>
  <si>
    <t>Плита анкерная</t>
  </si>
  <si>
    <t>Па3-2</t>
  </si>
  <si>
    <t>Р1-А</t>
  </si>
  <si>
    <t>Ригель</t>
  </si>
  <si>
    <t>ЛК-20.5</t>
  </si>
  <si>
    <t>Лоток</t>
  </si>
  <si>
    <t>УСО-3А</t>
  </si>
  <si>
    <t>Стойка</t>
  </si>
  <si>
    <t>УСО-4А</t>
  </si>
  <si>
    <t>УСО-5А</t>
  </si>
  <si>
    <t>УБ-1</t>
  </si>
  <si>
    <t>Подножник (стакан)</t>
  </si>
  <si>
    <t>Jami</t>
  </si>
  <si>
    <t>Oylik hisobot — 09.2026: materiallar</t>
  </si>
  <si>
    <t>ООО «ЭКМ» АО «Уз КЭК»  ·  Tayyorlandi: 25.09.2026 12:47</t>
  </si>
  <si>
    <t>Material</t>
  </si>
  <si>
    <t>Birlik</t>
  </si>
  <si>
    <t>Oy boshida</t>
  </si>
  <si>
    <t>Kirim</t>
  </si>
  <si>
    <t>Chiqim</t>
  </si>
  <si>
    <t>Sarf (haqiqiy)</t>
  </si>
  <si>
    <t>Sarf (norma)</t>
  </si>
  <si>
    <t>Farq</t>
  </si>
  <si>
    <t>Oy oxirida</t>
  </si>
  <si>
    <t>Sarf qiymati, so'm</t>
  </si>
  <si>
    <t>Песок</t>
  </si>
  <si>
    <t>т</t>
  </si>
  <si>
    <t>Цемент Портланд М450</t>
  </si>
  <si>
    <t>Шебень</t>
  </si>
  <si>
    <t>Арматура ф 28 мм</t>
  </si>
  <si>
    <t>кг</t>
  </si>
  <si>
    <t>Арматура А500 - 25мм</t>
  </si>
  <si>
    <t>Арматура А500 - 22мм</t>
  </si>
  <si>
    <t>Арматура А500 - 18мм</t>
  </si>
  <si>
    <t>Арматура А500 - 16мм</t>
  </si>
  <si>
    <t>Арматура А500 - 14мм</t>
  </si>
  <si>
    <t>Арматура А500 - 12мм</t>
  </si>
  <si>
    <t>Арматура А500 - 8мм</t>
  </si>
  <si>
    <t>Пруток А500 -22мм</t>
  </si>
  <si>
    <t>Пруток А500 -20мм</t>
  </si>
  <si>
    <t>Круг Ф 18 мм</t>
  </si>
  <si>
    <t>Пруток А500 -12мм</t>
  </si>
  <si>
    <t>Пруток А500 -8мм</t>
  </si>
  <si>
    <t>Пруток А500 -6,5мм</t>
  </si>
  <si>
    <t>Взялная проволка 3,5</t>
  </si>
  <si>
    <t>Электрод</t>
  </si>
  <si>
    <t>Смазочные материалы</t>
  </si>
  <si>
    <t>л</t>
  </si>
  <si>
    <t>Детал Д35</t>
  </si>
  <si>
    <t>шт</t>
  </si>
  <si>
    <t>Деталь Д115</t>
  </si>
  <si>
    <t>п/м</t>
  </si>
  <si>
    <t>Заклад. Детал Д-108</t>
  </si>
  <si>
    <t>Заклад. Детал Д-113</t>
  </si>
  <si>
    <t>Закладной деталь Д2БМ-3М</t>
  </si>
  <si>
    <t>Оголовник УД-28</t>
  </si>
  <si>
    <t>Оголовник Усу(250)</t>
  </si>
  <si>
    <t>Уголок 140х9</t>
  </si>
  <si>
    <t>Пруток А500 -10мм</t>
  </si>
  <si>
    <t>Деталь Д-101</t>
  </si>
  <si>
    <t>Деталь Д-104</t>
  </si>
  <si>
    <t>Salarka (dizel)</t>
  </si>
  <si>
    <t>«Farq» — haqiqiy sarf minus norma bo'yicha sarf. 10 % dan ortiq farq sariq bilan ajratilgan.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</si>
</sst>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&quot; %&quot;"/>
    <numFmt numFmtId="165" formatCode="#,##0.###"/>
  </numFmts>
  <fonts count="8" x14ac:knownFonts="1">
    <font>
      <color theme="1"/>
      <family val="2"/>
      <scheme val="minor"/>
      <sz val="11"/>
      <name val="Calibri"/>
    </font>
    <font>
      <b/>
      <color rgb="FF0F172A"/>
      <sz val="15"/>
    </font>
    <font>
      <color rgb="FF64748B"/>
      <sz val="10"/>
    </font>
    <font>
      <b/>
      <color rgb="FFFFFFFF"/>
      <sz val="10.5"/>
    </font>
    <font>
      <color rgb="FF15803D"/>
    </font>
    <font>
      <b/>
    </font>
    <font>
      <color rgb="FFB45309"/>
    </font>
    <font>
      <color rgb="FF64748B"/>
      <sz val="9.5"/>
    </font>
  </fonts>
  <fills count="5">
    <fill>
      <patternFill patternType="none"/>
    </fill>
    <fill>
      <patternFill patternType="gray125"/>
    </fill>
    <fill>
      <patternFill patternType="solid">
        <fgColor rgb="FF1F3A68"/>
      </patternFill>
    </fill>
    <fill>
      <patternFill patternType="solid">
        <fgColor rgb="FFF4F6FA"/>
      </patternFill>
    </fill>
    <fill>
      <patternFill patternType="solid">
        <fgColor rgb="FFE8EFFD"/>
      </patternFill>
    </fill>
  </fills>
  <borders count="3">
    <border>
      <left/>
      <right/>
      <top/>
      <bottom/>
      <diagonal/>
    </border>
    <border>
      <left style="thin">
        <color rgb="FFD5DBE5"/>
      </left>
      <right style="thin">
        <color rgb="FFD5DBE5"/>
      </right>
      <top style="thin">
        <color rgb="FFD5DBE5"/>
      </top>
      <bottom style="thin">
        <color rgb="FFD5DBE5"/>
      </bottom>
      <diagonal/>
    </border>
    <border>
      <left style="thin">
        <color rgb="FFD5DBE5"/>
      </left>
      <right style="thin">
        <color rgb="FFD5DBE5"/>
      </right>
      <top style="medium">
        <color rgb="FF1F3A68"/>
      </top>
      <bottom style="thin">
        <color rgb="FFD5DBE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right" vertical="center" wrapText="1" indent="1"/>
    </xf>
    <xf numFmtId="0" fontId="0" fillId="0" borderId="1" xfId="0" applyBorder="1" applyAlignment="1">
      <alignment horizontal="left" vertical="center" wrapText="1" indent="1"/>
    </xf>
    <xf numFmtId="3" fontId="0" fillId="0" borderId="1" xfId="0" applyNumberFormat="1" applyBorder="1" applyAlignment="1">
      <alignment horizontal="right" vertical="center" indent="1"/>
    </xf>
    <xf numFmtId="164" fontId="4" fillId="0" borderId="1" xfId="0" applyNumberFormat="1" applyFont="1" applyBorder="1" applyAlignment="1">
      <alignment horizontal="right" vertical="center" indent="1"/>
    </xf>
    <xf numFmtId="165" fontId="0" fillId="0" borderId="1" xfId="0" applyNumberFormat="1" applyBorder="1" applyAlignment="1">
      <alignment horizontal="right" vertical="center" indent="1"/>
    </xf>
    <xf numFmtId="0" fontId="0" fillId="3" borderId="1" xfId="0" applyFill="1" applyBorder="1" applyAlignment="1">
      <alignment horizontal="left" vertical="center" wrapText="1" indent="1"/>
    </xf>
    <xf numFmtId="3" fontId="0" fillId="3" borderId="1" xfId="0" applyNumberFormat="1" applyFill="1" applyBorder="1" applyAlignment="1">
      <alignment horizontal="right" vertical="center" indent="1"/>
    </xf>
    <xf numFmtId="164" fontId="0" fillId="3" borderId="1" xfId="0" applyNumberFormat="1" applyFill="1" applyBorder="1" applyAlignment="1">
      <alignment horizontal="right" vertical="center" indent="1"/>
    </xf>
    <xf numFmtId="165" fontId="0" fillId="3" borderId="1" xfId="0" applyNumberFormat="1" applyFill="1" applyBorder="1" applyAlignment="1">
      <alignment horizontal="right" vertical="center" indent="1"/>
    </xf>
    <xf numFmtId="164" fontId="0" fillId="0" borderId="1" xfId="0" applyNumberFormat="1" applyBorder="1" applyAlignment="1">
      <alignment horizontal="right" vertical="center" indent="1"/>
    </xf>
    <xf numFmtId="164" fontId="4" fillId="3" borderId="1" xfId="0" applyNumberFormat="1" applyFont="1" applyFill="1" applyBorder="1" applyAlignment="1">
      <alignment horizontal="right" vertical="center" indent="1"/>
    </xf>
    <xf numFmtId="0" fontId="5" fillId="4" borderId="2" xfId="0" applyFont="1" applyFill="1" applyBorder="1" applyAlignment="1">
      <alignment horizontal="left" indent="1"/>
    </xf>
    <xf numFmtId="0" fontId="5" fillId="4" borderId="2" xfId="0" applyFont="1" applyFill="1" applyBorder="1" applyAlignment="1">
      <alignment horizontal="right" indent="1"/>
    </xf>
    <xf numFmtId="3" fontId="5" fillId="4" borderId="2" xfId="0" applyNumberFormat="1" applyFont="1" applyFill="1" applyBorder="1" applyAlignment="1">
      <alignment horizontal="right" indent="1"/>
    </xf>
    <xf numFmtId="165" fontId="5" fillId="4" borderId="2" xfId="0" applyNumberFormat="1" applyFont="1" applyFill="1" applyBorder="1" applyAlignment="1">
      <alignment horizontal="right" indent="1"/>
    </xf>
    <xf numFmtId="165" fontId="6" fillId="0" borderId="1" xfId="0" applyNumberFormat="1" applyFont="1" applyBorder="1" applyAlignment="1">
      <alignment horizontal="right" vertical="center" indent="1"/>
    </xf>
    <xf numFmtId="165" fontId="6" fillId="3" borderId="1" xfId="0" applyNumberFormat="1" applyFont="1" applyFill="1" applyBorder="1" applyAlignment="1">
      <alignment horizontal="right" vertical="center" indent="1"/>
    </xf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2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0" customWidth="1"/>
    <col min="3" max="4" width="10" customWidth="1"/>
    <col min="5" max="5" width="14" customWidth="1"/>
    <col min="6" max="7" width="12" customWidth="1"/>
  </cols>
  <sheetData>
    <row r="1" ht="2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30" customHeight="1" spans="1:7" x14ac:dyDescent="0.25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spans="1:7" x14ac:dyDescent="0.25">
      <c r="A5" s="5" t="s">
        <v>9</v>
      </c>
      <c r="B5" s="5" t="s">
        <v>10</v>
      </c>
      <c r="C5" s="6">
        <v>30</v>
      </c>
      <c r="D5" s="6">
        <v>34</v>
      </c>
      <c r="E5" s="7">
        <v>113</v>
      </c>
      <c r="F5" s="8">
        <v>65.28</v>
      </c>
      <c r="G5" s="6">
        <v>12</v>
      </c>
    </row>
    <row r="6" spans="1:7" x14ac:dyDescent="0.25">
      <c r="A6" s="9" t="s">
        <v>11</v>
      </c>
      <c r="B6" s="9" t="s">
        <v>12</v>
      </c>
      <c r="C6" s="10">
        <v>0</v>
      </c>
      <c r="D6" s="10">
        <v>4</v>
      </c>
      <c r="E6" s="11"/>
      <c r="F6" s="12">
        <v>0.24</v>
      </c>
      <c r="G6" s="10">
        <v>0</v>
      </c>
    </row>
    <row r="7" spans="1:7" x14ac:dyDescent="0.25">
      <c r="A7" s="5" t="s">
        <v>13</v>
      </c>
      <c r="B7" s="5" t="s">
        <v>12</v>
      </c>
      <c r="C7" s="6">
        <v>0</v>
      </c>
      <c r="D7" s="6">
        <v>4</v>
      </c>
      <c r="E7" s="13"/>
      <c r="F7" s="8">
        <v>0.32</v>
      </c>
      <c r="G7" s="6">
        <v>0</v>
      </c>
    </row>
    <row r="8" spans="1:7" x14ac:dyDescent="0.25">
      <c r="A8" s="9" t="s">
        <v>14</v>
      </c>
      <c r="B8" s="9" t="s">
        <v>15</v>
      </c>
      <c r="C8" s="10">
        <v>20</v>
      </c>
      <c r="D8" s="10">
        <v>21</v>
      </c>
      <c r="E8" s="14">
        <v>105</v>
      </c>
      <c r="F8" s="12">
        <v>39.69</v>
      </c>
      <c r="G8" s="10">
        <v>23</v>
      </c>
    </row>
    <row r="9" spans="1:7" x14ac:dyDescent="0.25">
      <c r="A9" s="5" t="s">
        <v>16</v>
      </c>
      <c r="B9" s="5" t="s">
        <v>15</v>
      </c>
      <c r="C9" s="6">
        <v>5</v>
      </c>
      <c r="D9" s="6">
        <v>5</v>
      </c>
      <c r="E9" s="7">
        <v>100</v>
      </c>
      <c r="F9" s="8">
        <v>12.5</v>
      </c>
      <c r="G9" s="6">
        <v>16</v>
      </c>
    </row>
    <row r="10" spans="1:7" x14ac:dyDescent="0.25">
      <c r="A10" s="9" t="s">
        <v>17</v>
      </c>
      <c r="B10" s="9" t="s">
        <v>15</v>
      </c>
      <c r="C10" s="10">
        <v>0</v>
      </c>
      <c r="D10" s="10">
        <v>2</v>
      </c>
      <c r="E10" s="11"/>
      <c r="F10" s="12">
        <v>5</v>
      </c>
      <c r="G10" s="10">
        <v>0</v>
      </c>
    </row>
    <row r="11" spans="1:7" x14ac:dyDescent="0.25">
      <c r="A11" s="5" t="s">
        <v>18</v>
      </c>
      <c r="B11" s="5" t="s">
        <v>15</v>
      </c>
      <c r="C11" s="6">
        <v>0</v>
      </c>
      <c r="D11" s="6">
        <v>0</v>
      </c>
      <c r="E11" s="13"/>
      <c r="F11" s="8">
        <v>0</v>
      </c>
      <c r="G11" s="6">
        <v>2</v>
      </c>
    </row>
    <row r="12" spans="1:7" x14ac:dyDescent="0.25">
      <c r="A12" s="9" t="s">
        <v>19</v>
      </c>
      <c r="B12" s="9" t="s">
        <v>15</v>
      </c>
      <c r="C12" s="10">
        <v>0</v>
      </c>
      <c r="D12" s="10">
        <v>0</v>
      </c>
      <c r="E12" s="11"/>
      <c r="F12" s="12">
        <v>0</v>
      </c>
      <c r="G12" s="10">
        <v>19</v>
      </c>
    </row>
    <row r="13" spans="1:7" x14ac:dyDescent="0.25">
      <c r="A13" s="5" t="s">
        <v>20</v>
      </c>
      <c r="B13" s="5" t="s">
        <v>15</v>
      </c>
      <c r="C13" s="6">
        <v>17</v>
      </c>
      <c r="D13" s="6">
        <v>17</v>
      </c>
      <c r="E13" s="7">
        <v>100</v>
      </c>
      <c r="F13" s="8">
        <v>19.72</v>
      </c>
      <c r="G13" s="6">
        <v>11</v>
      </c>
    </row>
    <row r="14" spans="1:7" x14ac:dyDescent="0.25">
      <c r="A14" s="9" t="s">
        <v>21</v>
      </c>
      <c r="B14" s="9" t="s">
        <v>22</v>
      </c>
      <c r="C14" s="10">
        <v>35</v>
      </c>
      <c r="D14" s="10">
        <v>36</v>
      </c>
      <c r="E14" s="14">
        <v>103</v>
      </c>
      <c r="F14" s="12">
        <v>41.4</v>
      </c>
      <c r="G14" s="10">
        <v>46</v>
      </c>
    </row>
    <row r="15" spans="1:7" x14ac:dyDescent="0.25">
      <c r="A15" s="5" t="s">
        <v>23</v>
      </c>
      <c r="B15" s="5" t="s">
        <v>22</v>
      </c>
      <c r="C15" s="6">
        <v>0</v>
      </c>
      <c r="D15" s="6">
        <v>2</v>
      </c>
      <c r="E15" s="13"/>
      <c r="F15" s="8">
        <v>2.86</v>
      </c>
      <c r="G15" s="6">
        <v>0</v>
      </c>
    </row>
    <row r="16" spans="1:7" x14ac:dyDescent="0.25">
      <c r="A16" s="9" t="s">
        <v>24</v>
      </c>
      <c r="B16" s="9" t="s">
        <v>25</v>
      </c>
      <c r="C16" s="10">
        <v>72</v>
      </c>
      <c r="D16" s="10">
        <v>72</v>
      </c>
      <c r="E16" s="14">
        <v>100</v>
      </c>
      <c r="F16" s="12">
        <v>14.4</v>
      </c>
      <c r="G16" s="10">
        <v>67</v>
      </c>
    </row>
    <row r="17" spans="1:7" x14ac:dyDescent="0.25">
      <c r="A17" s="5" t="s">
        <v>26</v>
      </c>
      <c r="B17" s="5" t="s">
        <v>27</v>
      </c>
      <c r="C17" s="6">
        <v>16</v>
      </c>
      <c r="D17" s="6">
        <v>16</v>
      </c>
      <c r="E17" s="7">
        <v>100</v>
      </c>
      <c r="F17" s="8">
        <v>2.32</v>
      </c>
      <c r="G17" s="6">
        <v>0</v>
      </c>
    </row>
    <row r="18" spans="1:7" x14ac:dyDescent="0.25">
      <c r="A18" s="9" t="s">
        <v>28</v>
      </c>
      <c r="B18" s="9" t="s">
        <v>29</v>
      </c>
      <c r="C18" s="10">
        <v>4</v>
      </c>
      <c r="D18" s="10">
        <v>4</v>
      </c>
      <c r="E18" s="14">
        <v>100</v>
      </c>
      <c r="F18" s="12">
        <v>0.88</v>
      </c>
      <c r="G18" s="10">
        <v>4</v>
      </c>
    </row>
    <row r="19" spans="1:7" x14ac:dyDescent="0.25">
      <c r="A19" s="5" t="s">
        <v>30</v>
      </c>
      <c r="B19" s="5" t="s">
        <v>29</v>
      </c>
      <c r="C19" s="6">
        <v>2</v>
      </c>
      <c r="D19" s="6">
        <v>2</v>
      </c>
      <c r="E19" s="7">
        <v>100</v>
      </c>
      <c r="F19" s="8">
        <v>0.38</v>
      </c>
      <c r="G19" s="6">
        <v>32</v>
      </c>
    </row>
    <row r="20" spans="1:7" x14ac:dyDescent="0.25">
      <c r="A20" s="9" t="s">
        <v>31</v>
      </c>
      <c r="B20" s="9" t="s">
        <v>29</v>
      </c>
      <c r="C20" s="10">
        <v>19</v>
      </c>
      <c r="D20" s="10">
        <v>19</v>
      </c>
      <c r="E20" s="14">
        <v>100</v>
      </c>
      <c r="F20" s="12">
        <v>2.66</v>
      </c>
      <c r="G20" s="10">
        <v>18</v>
      </c>
    </row>
    <row r="21" spans="1:7" x14ac:dyDescent="0.25">
      <c r="A21" s="5" t="s">
        <v>32</v>
      </c>
      <c r="B21" s="5" t="s">
        <v>33</v>
      </c>
      <c r="C21" s="6">
        <v>36</v>
      </c>
      <c r="D21" s="6">
        <v>36</v>
      </c>
      <c r="E21" s="7">
        <v>100</v>
      </c>
      <c r="F21" s="8">
        <v>4.32</v>
      </c>
      <c r="G21" s="6">
        <v>57</v>
      </c>
    </row>
    <row r="22" spans="1:7" x14ac:dyDescent="0.25">
      <c r="A22" s="15" t="s">
        <v>34</v>
      </c>
      <c r="B22" s="16"/>
      <c r="C22" s="17">
        <f>SUBTOTAL(109,C5:C21)</f>
        <v>256</v>
      </c>
      <c r="D22" s="17">
        <f>SUBTOTAL(109,D5:D21)</f>
        <v>274</v>
      </c>
      <c r="E22" s="16"/>
      <c r="F22" s="18">
        <f>SUBTOTAL(109,F5:F21)</f>
        <v>211.97</v>
      </c>
      <c r="G22" s="17">
        <f>SUBTOTAL(109,G5:G21)</f>
        <v>307</v>
      </c>
    </row>
  </sheetData>
  <autoFilter ref="A4:G21"/>
  <mergeCells count="2">
    <mergeCell ref="A1:G1"/>
    <mergeCell ref="A2:G2"/>
  </mergeCells>
  <pageMargins left="0.4" right="0.4" top="0.5" bottom="0.5" header="0.2" footer="0.2"/>
  <pageSetup paperSize="9" orientation="landscape" horizontalDpi="4294967295" verticalDpi="4294967295" scale="100" fitToWidth="1" fitToHeight="0"/>
  <headerFooter>
    <oddFooter>&amp;LOylik hisobot — 09.2026: mahsulotlar&amp;R&amp;P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9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8" customWidth="1"/>
    <col min="3" max="9" width="14" customWidth="1"/>
    <col min="10" max="10" width="17" customWidth="1"/>
  </cols>
  <sheetData>
    <row r="1" ht="24" customHeight="1" spans="1:10" x14ac:dyDescent="0.25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</row>
    <row r="2" ht="16" customHeight="1" spans="1:10" x14ac:dyDescent="0.25">
      <c r="A2" s="2" t="s">
        <v>36</v>
      </c>
      <c r="B2" s="2"/>
      <c r="C2" s="2"/>
      <c r="D2" s="2"/>
      <c r="E2" s="2"/>
      <c r="F2" s="2"/>
      <c r="G2" s="2"/>
      <c r="H2" s="2"/>
      <c r="I2" s="2"/>
      <c r="J2" s="2"/>
    </row>
    <row r="4" ht="30" customHeight="1" spans="1:10" x14ac:dyDescent="0.25">
      <c r="A4" s="3" t="s">
        <v>37</v>
      </c>
      <c r="B4" s="3" t="s">
        <v>38</v>
      </c>
      <c r="C4" s="4" t="s">
        <v>39</v>
      </c>
      <c r="D4" s="4" t="s">
        <v>40</v>
      </c>
      <c r="E4" s="4" t="s">
        <v>41</v>
      </c>
      <c r="F4" s="4" t="s">
        <v>42</v>
      </c>
      <c r="G4" s="4" t="s">
        <v>43</v>
      </c>
      <c r="H4" s="4" t="s">
        <v>44</v>
      </c>
      <c r="I4" s="4" t="s">
        <v>45</v>
      </c>
      <c r="J4" s="4" t="s">
        <v>46</v>
      </c>
    </row>
    <row r="5" spans="1:10" x14ac:dyDescent="0.25">
      <c r="A5" s="5" t="s">
        <v>47</v>
      </c>
      <c r="B5" s="5" t="s">
        <v>48</v>
      </c>
      <c r="C5" s="8">
        <v>92.901</v>
      </c>
      <c r="D5" s="8"/>
      <c r="E5" s="8"/>
      <c r="F5" s="8">
        <v>144.43</v>
      </c>
      <c r="G5" s="8">
        <v>144.411</v>
      </c>
      <c r="H5" s="8">
        <v>0.019</v>
      </c>
      <c r="I5" s="8">
        <v>92.901</v>
      </c>
      <c r="J5" s="6">
        <v>14616316</v>
      </c>
    </row>
    <row r="6" spans="1:10" x14ac:dyDescent="0.25">
      <c r="A6" s="9" t="s">
        <v>49</v>
      </c>
      <c r="B6" s="9" t="s">
        <v>48</v>
      </c>
      <c r="C6" s="12">
        <v>19.194</v>
      </c>
      <c r="D6" s="12"/>
      <c r="E6" s="12"/>
      <c r="F6" s="12">
        <v>107.46</v>
      </c>
      <c r="G6" s="12">
        <v>107.47</v>
      </c>
      <c r="H6" s="12">
        <v>-0.01</v>
      </c>
      <c r="I6" s="12">
        <v>19.194</v>
      </c>
      <c r="J6" s="10">
        <v>70923600</v>
      </c>
    </row>
    <row r="7" spans="1:10" x14ac:dyDescent="0.25">
      <c r="A7" s="5" t="s">
        <v>50</v>
      </c>
      <c r="B7" s="5" t="s">
        <v>48</v>
      </c>
      <c r="C7" s="8">
        <v>54.407</v>
      </c>
      <c r="D7" s="8"/>
      <c r="E7" s="8"/>
      <c r="F7" s="8">
        <v>222.97</v>
      </c>
      <c r="G7" s="8">
        <v>223.341</v>
      </c>
      <c r="H7" s="8">
        <v>-0.371</v>
      </c>
      <c r="I7" s="8">
        <v>54.407</v>
      </c>
      <c r="J7" s="6">
        <v>10791748</v>
      </c>
    </row>
    <row r="8" spans="1:10" x14ac:dyDescent="0.25">
      <c r="A8" s="9" t="s">
        <v>51</v>
      </c>
      <c r="B8" s="9" t="s">
        <v>52</v>
      </c>
      <c r="C8" s="12">
        <v>1052</v>
      </c>
      <c r="D8" s="12"/>
      <c r="E8" s="12"/>
      <c r="F8" s="12">
        <v>7035</v>
      </c>
      <c r="G8" s="12">
        <v>7035</v>
      </c>
      <c r="H8" s="12"/>
      <c r="I8" s="12">
        <v>1052</v>
      </c>
      <c r="J8" s="10">
        <v>54197640</v>
      </c>
    </row>
    <row r="9" spans="1:10" x14ac:dyDescent="0.25">
      <c r="A9" s="5" t="s">
        <v>53</v>
      </c>
      <c r="B9" s="5" t="s">
        <v>52</v>
      </c>
      <c r="C9" s="8">
        <v>2406</v>
      </c>
      <c r="D9" s="8"/>
      <c r="E9" s="8"/>
      <c r="F9" s="8">
        <v>1499</v>
      </c>
      <c r="G9" s="8">
        <v>1421</v>
      </c>
      <c r="H9" s="8">
        <v>78</v>
      </c>
      <c r="I9" s="8">
        <v>2406</v>
      </c>
      <c r="J9" s="6">
        <v>11548296</v>
      </c>
    </row>
    <row r="10" spans="1:10" x14ac:dyDescent="0.25">
      <c r="A10" s="9" t="s">
        <v>54</v>
      </c>
      <c r="B10" s="9" t="s">
        <v>52</v>
      </c>
      <c r="C10" s="12">
        <v>1597</v>
      </c>
      <c r="D10" s="12"/>
      <c r="E10" s="12"/>
      <c r="F10" s="12">
        <v>190</v>
      </c>
      <c r="G10" s="12">
        <v>190</v>
      </c>
      <c r="H10" s="12"/>
      <c r="I10" s="12">
        <v>1597</v>
      </c>
      <c r="J10" s="10">
        <v>1463760</v>
      </c>
    </row>
    <row r="11" spans="1:10" x14ac:dyDescent="0.25">
      <c r="A11" s="5" t="s">
        <v>55</v>
      </c>
      <c r="B11" s="5" t="s">
        <v>52</v>
      </c>
      <c r="C11" s="8">
        <v>1140.4</v>
      </c>
      <c r="D11" s="8"/>
      <c r="E11" s="8"/>
      <c r="F11" s="8">
        <v>2391.6</v>
      </c>
      <c r="G11" s="8">
        <v>2469.6</v>
      </c>
      <c r="H11" s="8">
        <v>-78</v>
      </c>
      <c r="I11" s="8">
        <v>1140.4</v>
      </c>
      <c r="J11" s="6">
        <v>18424886</v>
      </c>
    </row>
    <row r="12" spans="1:10" x14ac:dyDescent="0.25">
      <c r="A12" s="9" t="s">
        <v>56</v>
      </c>
      <c r="B12" s="9" t="s">
        <v>52</v>
      </c>
      <c r="C12" s="12">
        <v>12474.44</v>
      </c>
      <c r="D12" s="12"/>
      <c r="E12" s="12"/>
      <c r="F12" s="12">
        <v>513.4</v>
      </c>
      <c r="G12" s="12">
        <v>513.4</v>
      </c>
      <c r="H12" s="12"/>
      <c r="I12" s="12">
        <v>12474.44</v>
      </c>
      <c r="J12" s="10">
        <v>3955234</v>
      </c>
    </row>
    <row r="13" spans="1:10" x14ac:dyDescent="0.25">
      <c r="A13" s="5" t="s">
        <v>57</v>
      </c>
      <c r="B13" s="5" t="s">
        <v>52</v>
      </c>
      <c r="C13" s="8">
        <v>7252.54</v>
      </c>
      <c r="D13" s="8"/>
      <c r="E13" s="8"/>
      <c r="F13" s="8">
        <v>5250</v>
      </c>
      <c r="G13" s="8">
        <v>5250</v>
      </c>
      <c r="H13" s="8"/>
      <c r="I13" s="8">
        <v>7252.54</v>
      </c>
      <c r="J13" s="6">
        <v>40446000</v>
      </c>
    </row>
    <row r="14" spans="1:10" x14ac:dyDescent="0.25">
      <c r="A14" s="9" t="s">
        <v>58</v>
      </c>
      <c r="B14" s="9" t="s">
        <v>52</v>
      </c>
      <c r="C14" s="12">
        <v>1465.16</v>
      </c>
      <c r="D14" s="12"/>
      <c r="E14" s="12"/>
      <c r="F14" s="12">
        <v>6235.6</v>
      </c>
      <c r="G14" s="12">
        <v>6538.8</v>
      </c>
      <c r="H14" s="12">
        <v>-303.2</v>
      </c>
      <c r="I14" s="12">
        <v>1465.16</v>
      </c>
      <c r="J14" s="10">
        <v>48039062</v>
      </c>
    </row>
    <row r="15" spans="1:10" x14ac:dyDescent="0.25">
      <c r="A15" s="5" t="s">
        <v>59</v>
      </c>
      <c r="B15" s="5" t="s">
        <v>52</v>
      </c>
      <c r="C15" s="8">
        <v>377.545</v>
      </c>
      <c r="D15" s="8"/>
      <c r="E15" s="8"/>
      <c r="F15" s="8">
        <v>2971.2</v>
      </c>
      <c r="G15" s="8">
        <v>2437.4</v>
      </c>
      <c r="H15" s="19">
        <v>533.8</v>
      </c>
      <c r="I15" s="8">
        <v>377.545</v>
      </c>
      <c r="J15" s="6">
        <v>23778514</v>
      </c>
    </row>
    <row r="16" spans="1:10" x14ac:dyDescent="0.25">
      <c r="A16" s="9" t="s">
        <v>60</v>
      </c>
      <c r="B16" s="9" t="s">
        <v>52</v>
      </c>
      <c r="C16" s="12">
        <v>320.8</v>
      </c>
      <c r="D16" s="12"/>
      <c r="E16" s="12"/>
      <c r="F16" s="12">
        <v>85.2</v>
      </c>
      <c r="G16" s="12">
        <v>77</v>
      </c>
      <c r="H16" s="20">
        <v>8.2</v>
      </c>
      <c r="I16" s="12">
        <v>320.8</v>
      </c>
      <c r="J16" s="10">
        <v>681856</v>
      </c>
    </row>
    <row r="17" spans="1:10" x14ac:dyDescent="0.25">
      <c r="A17" s="5" t="s">
        <v>61</v>
      </c>
      <c r="B17" s="5" t="s">
        <v>52</v>
      </c>
      <c r="C17" s="8">
        <v>938</v>
      </c>
      <c r="D17" s="8"/>
      <c r="E17" s="8"/>
      <c r="F17" s="8">
        <v>372</v>
      </c>
      <c r="G17" s="8">
        <v>372</v>
      </c>
      <c r="H17" s="8"/>
      <c r="I17" s="8">
        <v>938</v>
      </c>
      <c r="J17" s="6">
        <v>2977116</v>
      </c>
    </row>
    <row r="18" spans="1:10" x14ac:dyDescent="0.25">
      <c r="A18" s="9" t="s">
        <v>62</v>
      </c>
      <c r="B18" s="9" t="s">
        <v>52</v>
      </c>
      <c r="C18" s="12">
        <v>1280</v>
      </c>
      <c r="D18" s="12"/>
      <c r="E18" s="12"/>
      <c r="F18" s="12">
        <v>168</v>
      </c>
      <c r="G18" s="12">
        <v>168</v>
      </c>
      <c r="H18" s="12"/>
      <c r="I18" s="12">
        <v>1280</v>
      </c>
      <c r="J18" s="10">
        <v>1344504</v>
      </c>
    </row>
    <row r="19" spans="1:10" x14ac:dyDescent="0.25">
      <c r="A19" s="5" t="s">
        <v>63</v>
      </c>
      <c r="B19" s="5" t="s">
        <v>52</v>
      </c>
      <c r="C19" s="8">
        <v>5678.47</v>
      </c>
      <c r="D19" s="8"/>
      <c r="E19" s="8"/>
      <c r="F19" s="8">
        <v>1350.53</v>
      </c>
      <c r="G19" s="8">
        <v>1294.53</v>
      </c>
      <c r="H19" s="8">
        <v>56</v>
      </c>
      <c r="I19" s="8">
        <v>5678.47</v>
      </c>
      <c r="J19" s="6">
        <v>10939293</v>
      </c>
    </row>
    <row r="20" spans="1:10" x14ac:dyDescent="0.25">
      <c r="A20" s="9" t="s">
        <v>64</v>
      </c>
      <c r="B20" s="9" t="s">
        <v>52</v>
      </c>
      <c r="C20" s="12">
        <v>681.2</v>
      </c>
      <c r="D20" s="12"/>
      <c r="E20" s="12"/>
      <c r="F20" s="12">
        <v>758</v>
      </c>
      <c r="G20" s="12">
        <v>649</v>
      </c>
      <c r="H20" s="20">
        <v>109</v>
      </c>
      <c r="I20" s="12">
        <v>681.2</v>
      </c>
      <c r="J20" s="10">
        <v>6314140</v>
      </c>
    </row>
    <row r="21" spans="1:10" x14ac:dyDescent="0.25">
      <c r="A21" s="5" t="s">
        <v>65</v>
      </c>
      <c r="B21" s="5" t="s">
        <v>52</v>
      </c>
      <c r="C21" s="8">
        <v>1917.1</v>
      </c>
      <c r="D21" s="8"/>
      <c r="E21" s="8"/>
      <c r="F21" s="8">
        <v>640.4</v>
      </c>
      <c r="G21" s="8">
        <v>640.4</v>
      </c>
      <c r="H21" s="8">
        <v>0</v>
      </c>
      <c r="I21" s="8">
        <v>1917.1</v>
      </c>
      <c r="J21" s="6">
        <v>5603500</v>
      </c>
    </row>
    <row r="22" spans="1:10" x14ac:dyDescent="0.25">
      <c r="A22" s="9" t="s">
        <v>66</v>
      </c>
      <c r="B22" s="9" t="s">
        <v>52</v>
      </c>
      <c r="C22" s="12">
        <v>578</v>
      </c>
      <c r="D22" s="12"/>
      <c r="E22" s="12"/>
      <c r="F22" s="12">
        <v>545.6</v>
      </c>
      <c r="G22" s="12">
        <v>544.35</v>
      </c>
      <c r="H22" s="12">
        <v>1.25</v>
      </c>
      <c r="I22" s="12">
        <v>578</v>
      </c>
      <c r="J22" s="10">
        <v>5011336</v>
      </c>
    </row>
    <row r="23" spans="1:10" x14ac:dyDescent="0.25">
      <c r="A23" s="5" t="s">
        <v>67</v>
      </c>
      <c r="B23" s="5" t="s">
        <v>52</v>
      </c>
      <c r="C23" s="8">
        <v>1948.56</v>
      </c>
      <c r="D23" s="8"/>
      <c r="E23" s="8"/>
      <c r="F23" s="8">
        <v>459.64</v>
      </c>
      <c r="G23" s="8">
        <v>451.616</v>
      </c>
      <c r="H23" s="8">
        <v>8.024</v>
      </c>
      <c r="I23" s="8">
        <v>1948.56</v>
      </c>
      <c r="J23" s="6">
        <v>11950640</v>
      </c>
    </row>
    <row r="24" spans="1:10" x14ac:dyDescent="0.25">
      <c r="A24" s="9" t="s">
        <v>68</v>
      </c>
      <c r="B24" s="9" t="s">
        <v>69</v>
      </c>
      <c r="C24" s="12">
        <v>9.82</v>
      </c>
      <c r="D24" s="12"/>
      <c r="E24" s="12"/>
      <c r="F24" s="12">
        <v>352.74</v>
      </c>
      <c r="G24" s="12">
        <v>340.44</v>
      </c>
      <c r="H24" s="12">
        <v>12.3</v>
      </c>
      <c r="I24" s="12">
        <v>9.82</v>
      </c>
      <c r="J24" s="10">
        <v>1975344</v>
      </c>
    </row>
    <row r="25" spans="1:10" x14ac:dyDescent="0.25">
      <c r="A25" s="5" t="s">
        <v>70</v>
      </c>
      <c r="B25" s="5" t="s">
        <v>71</v>
      </c>
      <c r="C25" s="8">
        <v>19</v>
      </c>
      <c r="D25" s="8"/>
      <c r="E25" s="8"/>
      <c r="F25" s="8">
        <v>5</v>
      </c>
      <c r="G25" s="8">
        <v>5</v>
      </c>
      <c r="H25" s="8"/>
      <c r="I25" s="8">
        <v>19</v>
      </c>
      <c r="J25" s="6">
        <v>8325000</v>
      </c>
    </row>
    <row r="26" spans="1:10" x14ac:dyDescent="0.25">
      <c r="A26" s="9" t="s">
        <v>72</v>
      </c>
      <c r="B26" s="9" t="s">
        <v>73</v>
      </c>
      <c r="C26" s="12">
        <v>85.6</v>
      </c>
      <c r="D26" s="12"/>
      <c r="E26" s="12"/>
      <c r="F26" s="12">
        <v>23.2</v>
      </c>
      <c r="G26" s="12">
        <v>23.2</v>
      </c>
      <c r="H26" s="12"/>
      <c r="I26" s="12">
        <v>85.6</v>
      </c>
      <c r="J26" s="10">
        <v>556800</v>
      </c>
    </row>
    <row r="27" spans="1:10" x14ac:dyDescent="0.25">
      <c r="A27" s="5" t="s">
        <v>74</v>
      </c>
      <c r="B27" s="5" t="s">
        <v>71</v>
      </c>
      <c r="C27" s="8">
        <v>31</v>
      </c>
      <c r="D27" s="8"/>
      <c r="E27" s="8"/>
      <c r="F27" s="8">
        <v>38</v>
      </c>
      <c r="G27" s="8">
        <v>38</v>
      </c>
      <c r="H27" s="8"/>
      <c r="I27" s="8">
        <v>31</v>
      </c>
      <c r="J27" s="6">
        <v>8417000</v>
      </c>
    </row>
    <row r="28" spans="1:10" x14ac:dyDescent="0.25">
      <c r="A28" s="9" t="s">
        <v>75</v>
      </c>
      <c r="B28" s="9" t="s">
        <v>71</v>
      </c>
      <c r="C28" s="12">
        <v>1</v>
      </c>
      <c r="D28" s="12"/>
      <c r="E28" s="12"/>
      <c r="F28" s="12">
        <v>17</v>
      </c>
      <c r="G28" s="12">
        <v>17</v>
      </c>
      <c r="H28" s="12"/>
      <c r="I28" s="12">
        <v>1</v>
      </c>
      <c r="J28" s="10">
        <v>5066000</v>
      </c>
    </row>
    <row r="29" spans="1:10" x14ac:dyDescent="0.25">
      <c r="A29" s="5" t="s">
        <v>76</v>
      </c>
      <c r="B29" s="5" t="s">
        <v>71</v>
      </c>
      <c r="C29" s="8"/>
      <c r="D29" s="8"/>
      <c r="E29" s="8"/>
      <c r="F29" s="8"/>
      <c r="G29" s="8">
        <v>2</v>
      </c>
      <c r="H29" s="19">
        <v>-2</v>
      </c>
      <c r="I29" s="8">
        <v>0</v>
      </c>
      <c r="J29" s="6"/>
    </row>
    <row r="30" spans="1:10" x14ac:dyDescent="0.25">
      <c r="A30" s="9" t="s">
        <v>77</v>
      </c>
      <c r="B30" s="9" t="s">
        <v>71</v>
      </c>
      <c r="C30" s="12"/>
      <c r="D30" s="12"/>
      <c r="E30" s="12"/>
      <c r="F30" s="12"/>
      <c r="G30" s="12">
        <v>38</v>
      </c>
      <c r="H30" s="20">
        <v>-38</v>
      </c>
      <c r="I30" s="12">
        <v>0</v>
      </c>
      <c r="J30" s="10"/>
    </row>
    <row r="31" spans="1:10" x14ac:dyDescent="0.25">
      <c r="A31" s="5" t="s">
        <v>78</v>
      </c>
      <c r="B31" s="5" t="s">
        <v>71</v>
      </c>
      <c r="C31" s="8">
        <v>9</v>
      </c>
      <c r="D31" s="8"/>
      <c r="E31" s="8"/>
      <c r="F31" s="8">
        <v>21</v>
      </c>
      <c r="G31" s="8">
        <v>21</v>
      </c>
      <c r="H31" s="8"/>
      <c r="I31" s="8">
        <v>9</v>
      </c>
      <c r="J31" s="6">
        <v>56650293</v>
      </c>
    </row>
    <row r="32" spans="1:10" x14ac:dyDescent="0.25">
      <c r="A32" s="9" t="s">
        <v>79</v>
      </c>
      <c r="B32" s="9" t="s">
        <v>52</v>
      </c>
      <c r="C32" s="12">
        <v>783</v>
      </c>
      <c r="D32" s="12"/>
      <c r="E32" s="12"/>
      <c r="F32" s="12">
        <v>1050</v>
      </c>
      <c r="G32" s="12">
        <v>1050</v>
      </c>
      <c r="H32" s="12"/>
      <c r="I32" s="12">
        <v>783</v>
      </c>
      <c r="J32" s="10">
        <v>10657500</v>
      </c>
    </row>
    <row r="33" spans="1:10" x14ac:dyDescent="0.25">
      <c r="A33" s="5" t="s">
        <v>80</v>
      </c>
      <c r="B33" s="5" t="s">
        <v>52</v>
      </c>
      <c r="C33" s="8">
        <v>1803.92</v>
      </c>
      <c r="D33" s="8"/>
      <c r="E33" s="8"/>
      <c r="F33" s="8"/>
      <c r="G33" s="8"/>
      <c r="H33" s="8"/>
      <c r="I33" s="8">
        <v>1803.92</v>
      </c>
      <c r="J33" s="6"/>
    </row>
    <row r="34" spans="1:10" x14ac:dyDescent="0.25">
      <c r="A34" s="9" t="s">
        <v>81</v>
      </c>
      <c r="B34" s="9" t="s">
        <v>71</v>
      </c>
      <c r="C34" s="12">
        <v>143</v>
      </c>
      <c r="D34" s="12"/>
      <c r="E34" s="12"/>
      <c r="F34" s="12"/>
      <c r="G34" s="12"/>
      <c r="H34" s="12"/>
      <c r="I34" s="12">
        <v>143</v>
      </c>
      <c r="J34" s="10"/>
    </row>
    <row r="35" spans="1:10" x14ac:dyDescent="0.25">
      <c r="A35" s="5" t="s">
        <v>82</v>
      </c>
      <c r="B35" s="5" t="s">
        <v>71</v>
      </c>
      <c r="C35" s="8">
        <v>71</v>
      </c>
      <c r="D35" s="8"/>
      <c r="E35" s="8"/>
      <c r="F35" s="8"/>
      <c r="G35" s="8"/>
      <c r="H35" s="8"/>
      <c r="I35" s="8">
        <v>71</v>
      </c>
      <c r="J35" s="6"/>
    </row>
    <row r="36" spans="1:10" x14ac:dyDescent="0.25">
      <c r="A36" s="9" t="s">
        <v>83</v>
      </c>
      <c r="B36" s="9" t="s">
        <v>69</v>
      </c>
      <c r="C36" s="12"/>
      <c r="D36" s="12">
        <v>1000</v>
      </c>
      <c r="E36" s="12">
        <v>240</v>
      </c>
      <c r="F36" s="12"/>
      <c r="G36" s="12"/>
      <c r="H36" s="12"/>
      <c r="I36" s="12">
        <v>760</v>
      </c>
      <c r="J36" s="10"/>
    </row>
    <row r="37" spans="1:10" x14ac:dyDescent="0.25">
      <c r="A37" s="15" t="s">
        <v>34</v>
      </c>
      <c r="B37" s="16"/>
      <c r="C37" s="16"/>
      <c r="D37" s="16"/>
      <c r="E37" s="16"/>
      <c r="F37" s="16"/>
      <c r="G37" s="16"/>
      <c r="H37" s="16"/>
      <c r="I37" s="16"/>
      <c r="J37" s="17">
        <f>SUBTOTAL(109,J5:J36)</f>
        <v>434655378</v>
      </c>
    </row>
    <row r="39" spans="1:10" x14ac:dyDescent="0.25">
      <c r="A39" s="21" t="s">
        <v>84</v>
      </c>
      <c r="B39" s="21"/>
      <c r="C39" s="21"/>
      <c r="D39" s="21"/>
      <c r="E39" s="21"/>
      <c r="F39" s="21"/>
      <c r="G39" s="21"/>
      <c r="H39" s="21"/>
      <c r="I39" s="21"/>
      <c r="J39" s="21"/>
    </row>
  </sheetData>
  <autoFilter ref="A4:J36"/>
  <mergeCells count="3">
    <mergeCell ref="A1:J1"/>
    <mergeCell ref="A2:J2"/>
    <mergeCell ref="A39:J39"/>
  </mergeCells>
  <pageMargins left="0.4" right="0.4" top="0.5" bottom="0.5" header="0.2" footer="0.2"/>
  <pageSetup paperSize="9" orientation="landscape" horizontalDpi="4294967295" verticalDpi="4294967295" scale="100" fitToWidth="1" fitToHeight="0"/>
  <headerFooter>
    <oddFooter>&amp;LOylik hisobot — 09.2026: materiallar&amp;R&amp;P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Mahsulotlar</vt:lpstr>
      <vt:lpstr>Materiallar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ПТО ish stoli</dc:creator>
  <dc:title/>
  <dc:subject/>
  <dc:description/>
  <cp:keywords/>
  <cp:category/>
  <cp:lastModifiedBy>Unknown</cp:lastModifiedBy>
  <dcterms:created xsi:type="dcterms:W3CDTF">2026-09-25T07:47:59Z</dcterms:created>
  <dcterms:modified xsi:type="dcterms:W3CDTF">2026-09-25T07:47:59Z</dcterms:modified>
</cp:coreProperties>
</file>