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mbor qoldigʼi" state="visible" r:id="rId4"/>
  </sheets>
  <definedNames>
    <definedName name="_xlnm.Print_Area" localSheetId="0">'Ombor qoldigʼi'!$A1:$J41</definedName>
    <definedName name="_xlnm.Print_Titles" localSheetId="0">'Ombor qoldigʼi'!$4:$4</definedName>
  </definedNames>
  <calcPr calcId="171027"/>
</workbook>
</file>

<file path=xl/sharedStrings.xml><?xml version="1.0" encoding="utf-8"?>
<sst xmlns="http://schemas.openxmlformats.org/spreadsheetml/2006/main" count="127" uniqueCount="60">
  <si>
    <t>Ombor qoldig'i — 25.09.2026 holatiga</t>
  </si>
  <si>
    <t>ООО «ЭКМ» АО «Уз КЭК»  ·  Tayyorlandi: 25.09.2026 12:48</t>
  </si>
  <si>
    <t>№</t>
  </si>
  <si>
    <t>Material</t>
  </si>
  <si>
    <t>Guruh</t>
  </si>
  <si>
    <t>Kod / artikul</t>
  </si>
  <si>
    <t>Birlik</t>
  </si>
  <si>
    <t>Qoldiq</t>
  </si>
  <si>
    <t>Minimal qoldiq</t>
  </si>
  <si>
    <t>Holat</t>
  </si>
  <si>
    <t>Narx, so'm</t>
  </si>
  <si>
    <t>Qiymat, so'm</t>
  </si>
  <si>
    <t>Песок</t>
  </si>
  <si>
    <t>Xomashyo</t>
  </si>
  <si>
    <t>т</t>
  </si>
  <si>
    <t>Цемент Портланд М450</t>
  </si>
  <si>
    <t>Шебень</t>
  </si>
  <si>
    <t>Арматура ф 28 мм</t>
  </si>
  <si>
    <t>Metall</t>
  </si>
  <si>
    <t>кг</t>
  </si>
  <si>
    <t>Арматура А500 - 25мм</t>
  </si>
  <si>
    <t>Арматура А500 - 22мм</t>
  </si>
  <si>
    <t>Арматура А500 - 18мм</t>
  </si>
  <si>
    <t>Арматура А500 - 16мм</t>
  </si>
  <si>
    <t>Арматура А500 - 14мм</t>
  </si>
  <si>
    <t>Арматура А500 - 12мм</t>
  </si>
  <si>
    <t>Арматура А500 - 8мм</t>
  </si>
  <si>
    <t>Пруток А500 -22мм</t>
  </si>
  <si>
    <t>Пруток А500 -20мм</t>
  </si>
  <si>
    <t>Круг Ф 18 мм</t>
  </si>
  <si>
    <t>Пруток А500 -16мм</t>
  </si>
  <si>
    <t>Tugagan</t>
  </si>
  <si>
    <t>Пруток А500 -12мм</t>
  </si>
  <si>
    <t>Пруток А500 -8мм</t>
  </si>
  <si>
    <t>Пруток А500 -6,5мм</t>
  </si>
  <si>
    <t>Взялная проволка 3,5</t>
  </si>
  <si>
    <t>Электрод</t>
  </si>
  <si>
    <t>Смазочные материалы</t>
  </si>
  <si>
    <t>Boshqa</t>
  </si>
  <si>
    <t>л</t>
  </si>
  <si>
    <t>Детал Д35</t>
  </si>
  <si>
    <t>Zakladnoy detallar</t>
  </si>
  <si>
    <t>шт</t>
  </si>
  <si>
    <t>Деталь Д115</t>
  </si>
  <si>
    <t>п/м</t>
  </si>
  <si>
    <t>Заклад. Детал Д-108</t>
  </si>
  <si>
    <t>Заклад. Детал Д-113</t>
  </si>
  <si>
    <t>Закладной деталь Д-102</t>
  </si>
  <si>
    <t>Закладной деталь Д2БМ-3М</t>
  </si>
  <si>
    <t>Оголовник УД-28</t>
  </si>
  <si>
    <t>Оголовник Усу(250)</t>
  </si>
  <si>
    <t>Уголок 140х9</t>
  </si>
  <si>
    <t>Заклад. Детал МН-22</t>
  </si>
  <si>
    <t>Заклад. Детал лист</t>
  </si>
  <si>
    <t>Пруток А500 -10мм</t>
  </si>
  <si>
    <t>Деталь Д-101</t>
  </si>
  <si>
    <t>Деталь Д-104</t>
  </si>
  <si>
    <t>Salarka (dizel)</t>
  </si>
  <si>
    <t>Yoqilg'i va moylar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</si>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</sst>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0F172A"/>
      <sz val="15"/>
    </font>
    <font>
      <color rgb="FF64748B"/>
      <sz val="10"/>
    </font>
    <font>
      <b/>
      <color rgb="FFFFFFFF"/>
      <sz val="10.5"/>
    </font>
    <font>
      <b/>
      <color rgb="FFDC2626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A68"/>
      </patternFill>
    </fill>
    <fill>
      <patternFill patternType="solid">
        <fgColor rgb="FFF4F6FA"/>
      </patternFill>
    </fill>
    <fill>
      <patternFill patternType="solid">
        <fgColor rgb="FFE8EFFD"/>
      </patternFill>
    </fill>
  </fills>
  <borders count="3">
    <border>
      <left/>
      <right/>
      <top/>
      <bottom/>
      <diagonal/>
    </border>
    <border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  <border>
      <left style="thin">
        <color rgb="FFD5DBE5"/>
      </left>
      <right style="thin">
        <color rgb="FFD5DBE5"/>
      </right>
      <top style="medium">
        <color rgb="FF1F3A68"/>
      </top>
      <bottom style="thin">
        <color rgb="FFD5DBE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3" fontId="0" fillId="0" borderId="1" xfId="0" applyNumberFormat="1" applyBorder="1" applyAlignment="1">
      <alignment horizontal="right" vertical="center" indent="1"/>
    </xf>
    <xf numFmtId="0" fontId="0" fillId="0" borderId="1" xfId="0" applyBorder="1" applyAlignment="1">
      <alignment horizontal="left" vertical="center" wrapText="1" indent="1"/>
    </xf>
    <xf numFmtId="164" fontId="0" fillId="0" borderId="1" xfId="0" applyNumberFormat="1" applyBorder="1" applyAlignment="1">
      <alignment horizontal="right" vertical="center" indent="1"/>
    </xf>
    <xf numFmtId="3" fontId="0" fillId="3" borderId="1" xfId="0" applyNumberFormat="1" applyFill="1" applyBorder="1" applyAlignment="1">
      <alignment horizontal="right" vertical="center" indent="1"/>
    </xf>
    <xf numFmtId="0" fontId="0" fillId="3" borderId="1" xfId="0" applyFill="1" applyBorder="1" applyAlignment="1">
      <alignment horizontal="left" vertical="center" wrapText="1" indent="1"/>
    </xf>
    <xf numFmtId="164" fontId="0" fillId="3" borderId="1" xfId="0" applyNumberFormat="1" applyFill="1" applyBorder="1" applyAlignment="1">
      <alignment horizontal="right" vertical="center" indent="1"/>
    </xf>
    <xf numFmtId="164" fontId="4" fillId="0" borderId="1" xfId="0" applyNumberFormat="1" applyFont="1" applyBorder="1" applyAlignment="1">
      <alignment horizontal="right" vertical="center" indent="1"/>
    </xf>
    <xf numFmtId="0" fontId="4" fillId="0" borderId="1" xfId="0" applyFont="1" applyBorder="1" applyAlignment="1">
      <alignment horizontal="left" vertical="center" wrapText="1" indent="1"/>
    </xf>
    <xf numFmtId="164" fontId="4" fillId="3" borderId="1" xfId="0" applyNumberFormat="1" applyFont="1" applyFill="1" applyBorder="1" applyAlignment="1">
      <alignment horizontal="right" vertical="center" indent="1"/>
    </xf>
    <xf numFmtId="0" fontId="4" fillId="3" borderId="1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left" indent="1"/>
    </xf>
    <xf numFmtId="0" fontId="5" fillId="4" borderId="2" xfId="0" applyFont="1" applyFill="1" applyBorder="1" applyAlignment="1">
      <alignment horizontal="right" indent="1"/>
    </xf>
    <xf numFmtId="3" fontId="5" fillId="4" borderId="2" xfId="0" applyNumberFormat="1" applyFont="1" applyFill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20" customWidth="1"/>
    <col min="4" max="4" width="14" customWidth="1"/>
    <col min="5" max="5" width="8" customWidth="1"/>
    <col min="6" max="9" width="14" customWidth="1"/>
    <col min="10" max="10" width="18" customWidth="1"/>
  </cols>
  <sheetData>
    <row r="1" ht="2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6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0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3" t="s">
        <v>7</v>
      </c>
      <c r="G4" s="3" t="s">
        <v>8</v>
      </c>
      <c r="H4" s="4" t="s">
        <v>9</v>
      </c>
      <c r="I4" s="3" t="s">
        <v>10</v>
      </c>
      <c r="J4" s="3" t="s">
        <v>11</v>
      </c>
    </row>
    <row r="5" spans="1:10" x14ac:dyDescent="0.25">
      <c r="A5" s="5">
        <v>1</v>
      </c>
      <c r="B5" s="6" t="s">
        <v>12</v>
      </c>
      <c r="C5" s="6" t="s">
        <v>13</v>
      </c>
      <c r="D5" s="6"/>
      <c r="E5" s="6" t="s">
        <v>14</v>
      </c>
      <c r="F5" s="7">
        <v>92.901</v>
      </c>
      <c r="G5" s="7"/>
      <c r="H5" s="6"/>
      <c r="I5" s="5">
        <v>101200</v>
      </c>
      <c r="J5" s="5">
        <v>9401568</v>
      </c>
    </row>
    <row r="6" spans="1:10" x14ac:dyDescent="0.25">
      <c r="A6" s="8">
        <v>2</v>
      </c>
      <c r="B6" s="9" t="s">
        <v>15</v>
      </c>
      <c r="C6" s="9" t="s">
        <v>13</v>
      </c>
      <c r="D6" s="9"/>
      <c r="E6" s="9" t="s">
        <v>14</v>
      </c>
      <c r="F6" s="10">
        <v>19.194</v>
      </c>
      <c r="G6" s="10"/>
      <c r="H6" s="9"/>
      <c r="I6" s="8">
        <v>660000</v>
      </c>
      <c r="J6" s="8">
        <v>12667842</v>
      </c>
    </row>
    <row r="7" spans="1:10" x14ac:dyDescent="0.25">
      <c r="A7" s="5">
        <v>3</v>
      </c>
      <c r="B7" s="6" t="s">
        <v>16</v>
      </c>
      <c r="C7" s="6" t="s">
        <v>13</v>
      </c>
      <c r="D7" s="6"/>
      <c r="E7" s="6" t="s">
        <v>14</v>
      </c>
      <c r="F7" s="7">
        <v>54.407</v>
      </c>
      <c r="G7" s="7"/>
      <c r="H7" s="6"/>
      <c r="I7" s="5">
        <v>48400</v>
      </c>
      <c r="J7" s="5">
        <v>2633322</v>
      </c>
    </row>
    <row r="8" spans="1:10" x14ac:dyDescent="0.25">
      <c r="A8" s="8">
        <v>4</v>
      </c>
      <c r="B8" s="9" t="s">
        <v>17</v>
      </c>
      <c r="C8" s="9" t="s">
        <v>18</v>
      </c>
      <c r="D8" s="9"/>
      <c r="E8" s="9" t="s">
        <v>19</v>
      </c>
      <c r="F8" s="10">
        <v>1052</v>
      </c>
      <c r="G8" s="10"/>
      <c r="H8" s="9"/>
      <c r="I8" s="8">
        <v>7704</v>
      </c>
      <c r="J8" s="8">
        <v>8104608</v>
      </c>
    </row>
    <row r="9" spans="1:10" x14ac:dyDescent="0.25">
      <c r="A9" s="5">
        <v>5</v>
      </c>
      <c r="B9" s="6" t="s">
        <v>20</v>
      </c>
      <c r="C9" s="6" t="s">
        <v>18</v>
      </c>
      <c r="D9" s="6"/>
      <c r="E9" s="6" t="s">
        <v>19</v>
      </c>
      <c r="F9" s="7">
        <v>2406</v>
      </c>
      <c r="G9" s="7"/>
      <c r="H9" s="6"/>
      <c r="I9" s="5">
        <v>7704</v>
      </c>
      <c r="J9" s="5">
        <v>18535824</v>
      </c>
    </row>
    <row r="10" spans="1:10" x14ac:dyDescent="0.25">
      <c r="A10" s="8">
        <v>6</v>
      </c>
      <c r="B10" s="9" t="s">
        <v>21</v>
      </c>
      <c r="C10" s="9" t="s">
        <v>18</v>
      </c>
      <c r="D10" s="9"/>
      <c r="E10" s="9" t="s">
        <v>19</v>
      </c>
      <c r="F10" s="10">
        <v>1597</v>
      </c>
      <c r="G10" s="10"/>
      <c r="H10" s="9"/>
      <c r="I10" s="8">
        <v>7704</v>
      </c>
      <c r="J10" s="8">
        <v>12303288</v>
      </c>
    </row>
    <row r="11" spans="1:10" x14ac:dyDescent="0.25">
      <c r="A11" s="5">
        <v>7</v>
      </c>
      <c r="B11" s="6" t="s">
        <v>22</v>
      </c>
      <c r="C11" s="6" t="s">
        <v>18</v>
      </c>
      <c r="D11" s="6"/>
      <c r="E11" s="6" t="s">
        <v>19</v>
      </c>
      <c r="F11" s="7">
        <v>1140.4</v>
      </c>
      <c r="G11" s="7"/>
      <c r="H11" s="6"/>
      <c r="I11" s="5">
        <v>7704</v>
      </c>
      <c r="J11" s="5">
        <v>8785642</v>
      </c>
    </row>
    <row r="12" spans="1:10" x14ac:dyDescent="0.25">
      <c r="A12" s="8">
        <v>8</v>
      </c>
      <c r="B12" s="9" t="s">
        <v>23</v>
      </c>
      <c r="C12" s="9" t="s">
        <v>18</v>
      </c>
      <c r="D12" s="9"/>
      <c r="E12" s="9" t="s">
        <v>19</v>
      </c>
      <c r="F12" s="10">
        <v>12474.44</v>
      </c>
      <c r="G12" s="10"/>
      <c r="H12" s="9"/>
      <c r="I12" s="8">
        <v>7704</v>
      </c>
      <c r="J12" s="8">
        <v>96103086</v>
      </c>
    </row>
    <row r="13" spans="1:10" x14ac:dyDescent="0.25">
      <c r="A13" s="5">
        <v>9</v>
      </c>
      <c r="B13" s="6" t="s">
        <v>24</v>
      </c>
      <c r="C13" s="6" t="s">
        <v>18</v>
      </c>
      <c r="D13" s="6"/>
      <c r="E13" s="6" t="s">
        <v>19</v>
      </c>
      <c r="F13" s="7">
        <v>7252.54</v>
      </c>
      <c r="G13" s="7"/>
      <c r="H13" s="6"/>
      <c r="I13" s="5">
        <v>7704</v>
      </c>
      <c r="J13" s="5">
        <v>55873568</v>
      </c>
    </row>
    <row r="14" spans="1:10" x14ac:dyDescent="0.25">
      <c r="A14" s="8">
        <v>10</v>
      </c>
      <c r="B14" s="9" t="s">
        <v>25</v>
      </c>
      <c r="C14" s="9" t="s">
        <v>18</v>
      </c>
      <c r="D14" s="9"/>
      <c r="E14" s="9" t="s">
        <v>19</v>
      </c>
      <c r="F14" s="10">
        <v>1465.16</v>
      </c>
      <c r="G14" s="10"/>
      <c r="H14" s="9"/>
      <c r="I14" s="8">
        <v>7704</v>
      </c>
      <c r="J14" s="8">
        <v>11287593</v>
      </c>
    </row>
    <row r="15" spans="1:10" x14ac:dyDescent="0.25">
      <c r="A15" s="5">
        <v>11</v>
      </c>
      <c r="B15" s="6" t="s">
        <v>26</v>
      </c>
      <c r="C15" s="6" t="s">
        <v>18</v>
      </c>
      <c r="D15" s="6"/>
      <c r="E15" s="6" t="s">
        <v>19</v>
      </c>
      <c r="F15" s="7">
        <v>377.545</v>
      </c>
      <c r="G15" s="7"/>
      <c r="H15" s="6"/>
      <c r="I15" s="5">
        <v>8003</v>
      </c>
      <c r="J15" s="5">
        <v>3021493</v>
      </c>
    </row>
    <row r="16" spans="1:10" x14ac:dyDescent="0.25">
      <c r="A16" s="8">
        <v>12</v>
      </c>
      <c r="B16" s="9" t="s">
        <v>27</v>
      </c>
      <c r="C16" s="9" t="s">
        <v>18</v>
      </c>
      <c r="D16" s="9"/>
      <c r="E16" s="9" t="s">
        <v>19</v>
      </c>
      <c r="F16" s="10">
        <v>320.8</v>
      </c>
      <c r="G16" s="10"/>
      <c r="H16" s="9"/>
      <c r="I16" s="8">
        <v>8003</v>
      </c>
      <c r="J16" s="8">
        <v>2567362</v>
      </c>
    </row>
    <row r="17" spans="1:10" x14ac:dyDescent="0.25">
      <c r="A17" s="5">
        <v>13</v>
      </c>
      <c r="B17" s="6" t="s">
        <v>28</v>
      </c>
      <c r="C17" s="6" t="s">
        <v>18</v>
      </c>
      <c r="D17" s="6"/>
      <c r="E17" s="6" t="s">
        <v>19</v>
      </c>
      <c r="F17" s="7">
        <v>938</v>
      </c>
      <c r="G17" s="7"/>
      <c r="H17" s="6"/>
      <c r="I17" s="5">
        <v>8003</v>
      </c>
      <c r="J17" s="5">
        <v>7506814</v>
      </c>
    </row>
    <row r="18" spans="1:10" x14ac:dyDescent="0.25">
      <c r="A18" s="8">
        <v>14</v>
      </c>
      <c r="B18" s="9" t="s">
        <v>29</v>
      </c>
      <c r="C18" s="9" t="s">
        <v>18</v>
      </c>
      <c r="D18" s="9"/>
      <c r="E18" s="9" t="s">
        <v>19</v>
      </c>
      <c r="F18" s="10">
        <v>1280</v>
      </c>
      <c r="G18" s="10"/>
      <c r="H18" s="9"/>
      <c r="I18" s="8">
        <v>8003</v>
      </c>
      <c r="J18" s="8">
        <v>10243840</v>
      </c>
    </row>
    <row r="19" spans="1:10" x14ac:dyDescent="0.25">
      <c r="A19" s="5">
        <v>15</v>
      </c>
      <c r="B19" s="6" t="s">
        <v>30</v>
      </c>
      <c r="C19" s="6" t="s">
        <v>18</v>
      </c>
      <c r="D19" s="6"/>
      <c r="E19" s="6" t="s">
        <v>19</v>
      </c>
      <c r="F19" s="11">
        <v>0</v>
      </c>
      <c r="G19" s="7"/>
      <c r="H19" s="12" t="s">
        <v>31</v>
      </c>
      <c r="I19" s="5">
        <v>8003</v>
      </c>
      <c r="J19" s="5">
        <v>0</v>
      </c>
    </row>
    <row r="20" spans="1:10" x14ac:dyDescent="0.25">
      <c r="A20" s="8">
        <v>16</v>
      </c>
      <c r="B20" s="9" t="s">
        <v>32</v>
      </c>
      <c r="C20" s="9" t="s">
        <v>18</v>
      </c>
      <c r="D20" s="9"/>
      <c r="E20" s="9" t="s">
        <v>19</v>
      </c>
      <c r="F20" s="10">
        <v>5678.47</v>
      </c>
      <c r="G20" s="10"/>
      <c r="H20" s="9"/>
      <c r="I20" s="8">
        <v>8100</v>
      </c>
      <c r="J20" s="8">
        <v>45995607</v>
      </c>
    </row>
    <row r="21" spans="1:10" x14ac:dyDescent="0.25">
      <c r="A21" s="5">
        <v>17</v>
      </c>
      <c r="B21" s="6" t="s">
        <v>33</v>
      </c>
      <c r="C21" s="6" t="s">
        <v>18</v>
      </c>
      <c r="D21" s="6"/>
      <c r="E21" s="6" t="s">
        <v>19</v>
      </c>
      <c r="F21" s="7">
        <v>681.2</v>
      </c>
      <c r="G21" s="7"/>
      <c r="H21" s="6"/>
      <c r="I21" s="5">
        <v>8330</v>
      </c>
      <c r="J21" s="5">
        <v>5674396</v>
      </c>
    </row>
    <row r="22" spans="1:10" x14ac:dyDescent="0.25">
      <c r="A22" s="8">
        <v>18</v>
      </c>
      <c r="B22" s="9" t="s">
        <v>34</v>
      </c>
      <c r="C22" s="9" t="s">
        <v>18</v>
      </c>
      <c r="D22" s="9"/>
      <c r="E22" s="9" t="s">
        <v>19</v>
      </c>
      <c r="F22" s="10">
        <v>1917.1</v>
      </c>
      <c r="G22" s="10"/>
      <c r="H22" s="9"/>
      <c r="I22" s="8">
        <v>8750</v>
      </c>
      <c r="J22" s="8">
        <v>16774625</v>
      </c>
    </row>
    <row r="23" spans="1:10" x14ac:dyDescent="0.25">
      <c r="A23" s="5">
        <v>19</v>
      </c>
      <c r="B23" s="6" t="s">
        <v>35</v>
      </c>
      <c r="C23" s="6" t="s">
        <v>18</v>
      </c>
      <c r="D23" s="6"/>
      <c r="E23" s="6" t="s">
        <v>19</v>
      </c>
      <c r="F23" s="7">
        <v>578</v>
      </c>
      <c r="G23" s="7"/>
      <c r="H23" s="6"/>
      <c r="I23" s="5">
        <v>9185</v>
      </c>
      <c r="J23" s="5">
        <v>5308930</v>
      </c>
    </row>
    <row r="24" spans="1:10" x14ac:dyDescent="0.25">
      <c r="A24" s="8">
        <v>20</v>
      </c>
      <c r="B24" s="9" t="s">
        <v>36</v>
      </c>
      <c r="C24" s="9" t="s">
        <v>18</v>
      </c>
      <c r="D24" s="9"/>
      <c r="E24" s="9" t="s">
        <v>19</v>
      </c>
      <c r="F24" s="10">
        <v>1948.56</v>
      </c>
      <c r="G24" s="10"/>
      <c r="H24" s="9"/>
      <c r="I24" s="8">
        <v>26000</v>
      </c>
      <c r="J24" s="8">
        <v>50662560</v>
      </c>
    </row>
    <row r="25" spans="1:10" x14ac:dyDescent="0.25">
      <c r="A25" s="5">
        <v>21</v>
      </c>
      <c r="B25" s="6" t="s">
        <v>37</v>
      </c>
      <c r="C25" s="6" t="s">
        <v>38</v>
      </c>
      <c r="D25" s="6"/>
      <c r="E25" s="6" t="s">
        <v>39</v>
      </c>
      <c r="F25" s="7">
        <v>9.82</v>
      </c>
      <c r="G25" s="7"/>
      <c r="H25" s="6"/>
      <c r="I25" s="5">
        <v>5600</v>
      </c>
      <c r="J25" s="5">
        <v>54992</v>
      </c>
    </row>
    <row r="26" spans="1:10" x14ac:dyDescent="0.25">
      <c r="A26" s="8">
        <v>22</v>
      </c>
      <c r="B26" s="9" t="s">
        <v>40</v>
      </c>
      <c r="C26" s="9" t="s">
        <v>41</v>
      </c>
      <c r="D26" s="9"/>
      <c r="E26" s="9" t="s">
        <v>42</v>
      </c>
      <c r="F26" s="10">
        <v>19</v>
      </c>
      <c r="G26" s="10"/>
      <c r="H26" s="9"/>
      <c r="I26" s="8">
        <v>1665000</v>
      </c>
      <c r="J26" s="8">
        <v>31635000</v>
      </c>
    </row>
    <row r="27" spans="1:10" x14ac:dyDescent="0.25">
      <c r="A27" s="5">
        <v>23</v>
      </c>
      <c r="B27" s="6" t="s">
        <v>43</v>
      </c>
      <c r="C27" s="6" t="s">
        <v>41</v>
      </c>
      <c r="D27" s="6"/>
      <c r="E27" s="6" t="s">
        <v>44</v>
      </c>
      <c r="F27" s="7">
        <v>85.6</v>
      </c>
      <c r="G27" s="7"/>
      <c r="H27" s="6"/>
      <c r="I27" s="5">
        <v>24000</v>
      </c>
      <c r="J27" s="5">
        <v>2054400</v>
      </c>
    </row>
    <row r="28" spans="1:10" x14ac:dyDescent="0.25">
      <c r="A28" s="8">
        <v>24</v>
      </c>
      <c r="B28" s="9" t="s">
        <v>45</v>
      </c>
      <c r="C28" s="9" t="s">
        <v>41</v>
      </c>
      <c r="D28" s="9"/>
      <c r="E28" s="9" t="s">
        <v>42</v>
      </c>
      <c r="F28" s="10">
        <v>31</v>
      </c>
      <c r="G28" s="10"/>
      <c r="H28" s="9"/>
      <c r="I28" s="8">
        <v>221500</v>
      </c>
      <c r="J28" s="8">
        <v>6866500</v>
      </c>
    </row>
    <row r="29" spans="1:10" x14ac:dyDescent="0.25">
      <c r="A29" s="5">
        <v>25</v>
      </c>
      <c r="B29" s="6" t="s">
        <v>46</v>
      </c>
      <c r="C29" s="6" t="s">
        <v>41</v>
      </c>
      <c r="D29" s="6"/>
      <c r="E29" s="6" t="s">
        <v>42</v>
      </c>
      <c r="F29" s="7">
        <v>1</v>
      </c>
      <c r="G29" s="7"/>
      <c r="H29" s="6"/>
      <c r="I29" s="5">
        <v>298000</v>
      </c>
      <c r="J29" s="5">
        <v>298000</v>
      </c>
    </row>
    <row r="30" spans="1:10" x14ac:dyDescent="0.25">
      <c r="A30" s="8">
        <v>26</v>
      </c>
      <c r="B30" s="9" t="s">
        <v>47</v>
      </c>
      <c r="C30" s="9" t="s">
        <v>41</v>
      </c>
      <c r="D30" s="9"/>
      <c r="E30" s="9" t="s">
        <v>42</v>
      </c>
      <c r="F30" s="13">
        <v>0</v>
      </c>
      <c r="G30" s="10"/>
      <c r="H30" s="14" t="s">
        <v>31</v>
      </c>
      <c r="I30" s="8">
        <v>201000</v>
      </c>
      <c r="J30" s="8">
        <v>0</v>
      </c>
    </row>
    <row r="31" spans="1:10" x14ac:dyDescent="0.25">
      <c r="A31" s="5">
        <v>27</v>
      </c>
      <c r="B31" s="6" t="s">
        <v>48</v>
      </c>
      <c r="C31" s="6" t="s">
        <v>41</v>
      </c>
      <c r="D31" s="6"/>
      <c r="E31" s="6" t="s">
        <v>42</v>
      </c>
      <c r="F31" s="11">
        <v>0</v>
      </c>
      <c r="G31" s="7"/>
      <c r="H31" s="12" t="s">
        <v>31</v>
      </c>
      <c r="I31" s="5">
        <v>888500</v>
      </c>
      <c r="J31" s="5">
        <v>0</v>
      </c>
    </row>
    <row r="32" spans="1:10" x14ac:dyDescent="0.25">
      <c r="A32" s="8">
        <v>28</v>
      </c>
      <c r="B32" s="9" t="s">
        <v>49</v>
      </c>
      <c r="C32" s="9" t="s">
        <v>41</v>
      </c>
      <c r="D32" s="9"/>
      <c r="E32" s="9" t="s">
        <v>42</v>
      </c>
      <c r="F32" s="13">
        <v>0</v>
      </c>
      <c r="G32" s="10"/>
      <c r="H32" s="14" t="s">
        <v>31</v>
      </c>
      <c r="I32" s="8">
        <v>60000</v>
      </c>
      <c r="J32" s="8">
        <v>0</v>
      </c>
    </row>
    <row r="33" spans="1:10" x14ac:dyDescent="0.25">
      <c r="A33" s="5">
        <v>29</v>
      </c>
      <c r="B33" s="6" t="s">
        <v>50</v>
      </c>
      <c r="C33" s="6" t="s">
        <v>41</v>
      </c>
      <c r="D33" s="6"/>
      <c r="E33" s="6" t="s">
        <v>42</v>
      </c>
      <c r="F33" s="7">
        <v>9</v>
      </c>
      <c r="G33" s="7"/>
      <c r="H33" s="6"/>
      <c r="I33" s="5">
        <v>2697633</v>
      </c>
      <c r="J33" s="5">
        <v>24278697</v>
      </c>
    </row>
    <row r="34" spans="1:10" x14ac:dyDescent="0.25">
      <c r="A34" s="8">
        <v>30</v>
      </c>
      <c r="B34" s="9" t="s">
        <v>51</v>
      </c>
      <c r="C34" s="9" t="s">
        <v>18</v>
      </c>
      <c r="D34" s="9"/>
      <c r="E34" s="9" t="s">
        <v>19</v>
      </c>
      <c r="F34" s="10">
        <v>783</v>
      </c>
      <c r="G34" s="10"/>
      <c r="H34" s="9"/>
      <c r="I34" s="8">
        <v>10150</v>
      </c>
      <c r="J34" s="8">
        <v>7947450</v>
      </c>
    </row>
    <row r="35" spans="1:10" x14ac:dyDescent="0.25">
      <c r="A35" s="5">
        <v>31</v>
      </c>
      <c r="B35" s="6" t="s">
        <v>52</v>
      </c>
      <c r="C35" s="6" t="s">
        <v>41</v>
      </c>
      <c r="D35" s="6"/>
      <c r="E35" s="6" t="s">
        <v>42</v>
      </c>
      <c r="F35" s="11">
        <v>0</v>
      </c>
      <c r="G35" s="7"/>
      <c r="H35" s="12" t="s">
        <v>31</v>
      </c>
      <c r="I35" s="5">
        <v>80000</v>
      </c>
      <c r="J35" s="5">
        <v>0</v>
      </c>
    </row>
    <row r="36" spans="1:10" x14ac:dyDescent="0.25">
      <c r="A36" s="8">
        <v>32</v>
      </c>
      <c r="B36" s="9" t="s">
        <v>53</v>
      </c>
      <c r="C36" s="9" t="s">
        <v>41</v>
      </c>
      <c r="D36" s="9"/>
      <c r="E36" s="9" t="s">
        <v>42</v>
      </c>
      <c r="F36" s="13">
        <v>0</v>
      </c>
      <c r="G36" s="10"/>
      <c r="H36" s="14" t="s">
        <v>31</v>
      </c>
      <c r="I36" s="8">
        <v>140000</v>
      </c>
      <c r="J36" s="8">
        <v>0</v>
      </c>
    </row>
    <row r="37" spans="1:10" x14ac:dyDescent="0.25">
      <c r="A37" s="5">
        <v>33</v>
      </c>
      <c r="B37" s="6" t="s">
        <v>54</v>
      </c>
      <c r="C37" s="6" t="s">
        <v>18</v>
      </c>
      <c r="D37" s="6"/>
      <c r="E37" s="6" t="s">
        <v>19</v>
      </c>
      <c r="F37" s="7">
        <v>1803.92</v>
      </c>
      <c r="G37" s="7"/>
      <c r="H37" s="6"/>
      <c r="I37" s="5">
        <v>8330</v>
      </c>
      <c r="J37" s="5">
        <v>15026654</v>
      </c>
    </row>
    <row r="38" spans="1:10" x14ac:dyDescent="0.25">
      <c r="A38" s="8">
        <v>34</v>
      </c>
      <c r="B38" s="9" t="s">
        <v>55</v>
      </c>
      <c r="C38" s="9" t="s">
        <v>41</v>
      </c>
      <c r="D38" s="9"/>
      <c r="E38" s="9" t="s">
        <v>42</v>
      </c>
      <c r="F38" s="10">
        <v>143</v>
      </c>
      <c r="G38" s="10"/>
      <c r="H38" s="9"/>
      <c r="I38" s="8"/>
      <c r="J38" s="8">
        <v>0</v>
      </c>
    </row>
    <row r="39" spans="1:10" x14ac:dyDescent="0.25">
      <c r="A39" s="5">
        <v>35</v>
      </c>
      <c r="B39" s="6" t="s">
        <v>56</v>
      </c>
      <c r="C39" s="6" t="s">
        <v>41</v>
      </c>
      <c r="D39" s="6"/>
      <c r="E39" s="6" t="s">
        <v>42</v>
      </c>
      <c r="F39" s="7">
        <v>71</v>
      </c>
      <c r="G39" s="7"/>
      <c r="H39" s="6"/>
      <c r="I39" s="5"/>
      <c r="J39" s="5">
        <v>0</v>
      </c>
    </row>
    <row r="40" spans="1:10" x14ac:dyDescent="0.25">
      <c r="A40" s="8">
        <v>36</v>
      </c>
      <c r="B40" s="9" t="s">
        <v>57</v>
      </c>
      <c r="C40" s="9" t="s">
        <v>58</v>
      </c>
      <c r="D40" s="9"/>
      <c r="E40" s="9" t="s">
        <v>39</v>
      </c>
      <c r="F40" s="10">
        <v>760</v>
      </c>
      <c r="G40" s="10">
        <v>200</v>
      </c>
      <c r="H40" s="9"/>
      <c r="I40" s="8">
        <v>11500</v>
      </c>
      <c r="J40" s="8">
        <v>8740000</v>
      </c>
    </row>
    <row r="41" spans="1:10" x14ac:dyDescent="0.25">
      <c r="A41" s="15" t="s">
        <v>59</v>
      </c>
      <c r="B41" s="16"/>
      <c r="C41" s="16"/>
      <c r="D41" s="16"/>
      <c r="E41" s="16"/>
      <c r="F41" s="16"/>
      <c r="G41" s="16"/>
      <c r="H41" s="16"/>
      <c r="I41" s="16"/>
      <c r="J41" s="17">
        <f>SUBTOTAL(109,J5:J40)</f>
        <v>480353661</v>
      </c>
    </row>
  </sheetData>
  <autoFilter ref="A4:J40"/>
  <mergeCells count="2">
    <mergeCell ref="A1:J1"/>
    <mergeCell ref="A2:J2"/>
  </mergeCells>
  <pageMargins left="0.4" right="0.4" top="0.5" bottom="0.5" header="0.2" footer="0.2"/>
  <pageSetup paperSize="9" orientation="landscape" horizontalDpi="4294967295" verticalDpi="4294967295" scale="100" fitToWidth="1" fitToHeight="0"/>
  <headerFooter>
    <oddFooter>&amp;LOmbor qoldig'i — 25.09.2026 holatiga&amp;R&amp;P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Ombor qoldigʼi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ПТО ish stoli</dc:creator>
  <dc:title/>
  <dc:subject/>
  <dc:description/>
  <cp:keywords/>
  <cp:category/>
  <cp:lastModifiedBy>Unknown</cp:lastModifiedBy>
  <dcterms:created xsi:type="dcterms:W3CDTF">2026-09-25T07:48:01Z</dcterms:created>
  <dcterms:modified xsi:type="dcterms:W3CDTF">2026-09-25T07:48:01Z</dcterms:modified>
</cp:coreProperties>
</file>